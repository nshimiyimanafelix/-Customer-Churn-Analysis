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 STATA FILES\"/>
    </mc:Choice>
  </mc:AlternateContent>
  <xr:revisionPtr revIDLastSave="0" documentId="8_{3966AF61-7130-4833-8A25-FD45DCA3478F}" xr6:coauthVersionLast="47" xr6:coauthVersionMax="47" xr10:uidLastSave="{00000000-0000-0000-0000-000000000000}"/>
  <bookViews>
    <workbookView xWindow="-110" yWindow="-110" windowWidth="19420" windowHeight="10300" activeTab="4" xr2:uid="{46BDEEE6-EEBA-427D-8D12-713AB84245C4}"/>
  </bookViews>
  <sheets>
    <sheet name="Sheet1" sheetId="1" r:id="rId1"/>
    <sheet name="Sheet2" sheetId="2" r:id="rId2"/>
    <sheet name="Sheet4" sheetId="4" r:id="rId3"/>
    <sheet name="Sheet5" sheetId="5" r:id="rId4"/>
    <sheet name="Sheet3" sheetId="3" r:id="rId5"/>
  </sheets>
  <definedNames>
    <definedName name="_xlnm._FilterDatabase" localSheetId="4" hidden="1">Sheet3!$H$2:$H$21</definedName>
  </definedNames>
  <calcPr calcId="191029"/>
  <pivotCaches>
    <pivotCache cacheId="2" r:id="rId6"/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 a="1"/>
  <c r="I2" i="3" s="1"/>
  <c r="D30" i="3"/>
  <c r="D29" i="3"/>
  <c r="D28" i="3"/>
  <c r="D27" i="3"/>
  <c r="D26" i="3"/>
  <c r="D25" i="3"/>
  <c r="D24" i="3"/>
  <c r="B17" i="1"/>
  <c r="D27" i="1"/>
  <c r="D26" i="1"/>
  <c r="D25" i="1"/>
  <c r="B15" i="1"/>
  <c r="E14" i="1"/>
  <c r="C14" i="1"/>
  <c r="D13" i="1"/>
  <c r="J12" i="1"/>
  <c r="J11" i="1"/>
  <c r="B10" i="1"/>
  <c r="B18" i="1" s="1"/>
  <c r="B9" i="1"/>
  <c r="I8" i="1"/>
  <c r="I7" i="1"/>
  <c r="H6" i="1"/>
  <c r="D5" i="1"/>
  <c r="D4" i="1"/>
  <c r="D3" i="1"/>
  <c r="D2" i="1"/>
  <c r="D31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<sst xmlns="http://schemas.openxmlformats.org/spreadsheetml/2006/main" count="126" uniqueCount="86">
  <si>
    <t>add</t>
  </si>
  <si>
    <t>sub</t>
  </si>
  <si>
    <t>mult</t>
  </si>
  <si>
    <t>div</t>
  </si>
  <si>
    <t>sum</t>
  </si>
  <si>
    <t>min</t>
  </si>
  <si>
    <t>max</t>
  </si>
  <si>
    <t>count</t>
  </si>
  <si>
    <t>counta</t>
  </si>
  <si>
    <t>avg</t>
  </si>
  <si>
    <t>median</t>
  </si>
  <si>
    <t>concatenate</t>
  </si>
  <si>
    <t>IF</t>
  </si>
  <si>
    <t>count IF</t>
  </si>
  <si>
    <t>sum IF</t>
  </si>
  <si>
    <t>Current time</t>
  </si>
  <si>
    <t>count Blank</t>
  </si>
  <si>
    <t>deep</t>
  </si>
  <si>
    <t>Alice</t>
  </si>
  <si>
    <t>is very tall</t>
  </si>
  <si>
    <t>rwanda</t>
  </si>
  <si>
    <t>Babarian</t>
  </si>
  <si>
    <t>dep1</t>
  </si>
  <si>
    <t>dep2</t>
  </si>
  <si>
    <t>dep3</t>
  </si>
  <si>
    <t>sumif for dep1</t>
  </si>
  <si>
    <t>sumif for dep2</t>
  </si>
  <si>
    <t>sumif for dep3</t>
  </si>
  <si>
    <t>CONDITIONAL FORMAATTING</t>
  </si>
  <si>
    <t>numbers</t>
  </si>
  <si>
    <t>names</t>
  </si>
  <si>
    <t>I</t>
  </si>
  <si>
    <t>you</t>
  </si>
  <si>
    <t>we</t>
  </si>
  <si>
    <t>he</t>
  </si>
  <si>
    <t>it</t>
  </si>
  <si>
    <t>they</t>
  </si>
  <si>
    <t>them</t>
  </si>
  <si>
    <t>our</t>
  </si>
  <si>
    <t>your</t>
  </si>
  <si>
    <t>Her</t>
  </si>
  <si>
    <t>CustomerID</t>
  </si>
  <si>
    <t>Age</t>
  </si>
  <si>
    <t>Subscription</t>
  </si>
  <si>
    <t>MonthlyFee</t>
  </si>
  <si>
    <t>TenureMonths</t>
  </si>
  <si>
    <t>SupportCalls</t>
  </si>
  <si>
    <t>Satisfaction</t>
  </si>
  <si>
    <t>Churn</t>
  </si>
  <si>
    <t>C001</t>
  </si>
  <si>
    <t>Basic</t>
  </si>
  <si>
    <t>Yes</t>
  </si>
  <si>
    <t>C002</t>
  </si>
  <si>
    <t>Premium</t>
  </si>
  <si>
    <t>No</t>
  </si>
  <si>
    <t>C003</t>
  </si>
  <si>
    <t>C004</t>
  </si>
  <si>
    <t>Standard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</si>
  <si>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</si>
  <si>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</si>
  <si>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</si>
  <si>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</si>
  <si>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</si>
  <si>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</si>
  <si>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</si>
  <si>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</si>
  <si>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</si>
  <si>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</si>
  <si>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</si>
  <si>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</si>
  <si>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</si>
  <si>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</si>
  <si>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</si>
  <si>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</si>
  <si>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the average customer age</t>
  </si>
  <si>
    <t>the total monthly revenue</t>
  </si>
  <si>
    <t>the average monthly fee</t>
  </si>
  <si>
    <t>the number of customers who churned</t>
  </si>
  <si>
    <t>the number of Premium subscribers</t>
  </si>
  <si>
    <t>the average tenure months</t>
  </si>
  <si>
    <t>maximum monthly fee.</t>
  </si>
  <si>
    <t>Risk Level</t>
  </si>
  <si>
    <t>number of high risks</t>
  </si>
  <si>
    <t>customers with Churn = Yes.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</si>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</sst>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22" fontId="0" fillId="0" borderId="0" xfId="0" applyNumberFormat="1"/>
    <xf numFmtId="0" fontId="0" fillId="0" borderId="0" xfId="0" applyAlignment="1">
      <alignment textRotation="45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ma Felix Mackenzie" refreshedDate="46130.859545486113" createdVersion="8" refreshedVersion="8" minRefreshableVersion="3" recordCount="19" xr:uid="{D3ADE65D-F458-4E38-AF73-6DD0C8DEADF8}">
  <cacheSource type="worksheet">
    <worksheetSource ref="A2:I21" sheet="Sheet3"/>
  </cacheSource>
  <cacheFields count="9">
    <cacheField name="C001" numFmtId="0">
      <sharedItems/>
    </cacheField>
    <cacheField name="23" numFmtId="0">
      <sharedItems containsSemiMixedTypes="0" containsString="0" containsNumber="1" containsInteger="1" minValue="26" maxValue="52"/>
    </cacheField>
    <cacheField name="Basic" numFmtId="0">
      <sharedItems/>
    </cacheField>
    <cacheField name="20" numFmtId="0">
      <sharedItems containsSemiMixedTypes="0" containsString="0" containsNumber="1" containsInteger="1" minValue="20" maxValue="50"/>
    </cacheField>
    <cacheField name="5" numFmtId="0">
      <sharedItems containsSemiMixedTypes="0" containsString="0" containsNumber="1" containsInteger="1" minValue="4" maxValue="36"/>
    </cacheField>
    <cacheField name="3" numFmtId="0">
      <sharedItems containsSemiMixedTypes="0" containsString="0" containsNumber="1" containsInteger="1" minValue="0" maxValue="5"/>
    </cacheField>
    <cacheField name="32" numFmtId="0">
      <sharedItems containsSemiMixedTypes="0" containsString="0" containsNumber="1" containsInteger="1" minValue="2" maxValue="5"/>
    </cacheField>
    <cacheField name="Yes" numFmtId="0">
      <sharedItems/>
    </cacheField>
    <cacheField name="NO RIS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ma Felix Mackenzie" refreshedDate="46130.861168750002" createdVersion="8" refreshedVersion="8" minRefreshableVersion="3" recordCount="20" xr:uid="{1C81D8B9-3EBA-462A-BDD5-BAA7CBD12CD6}">
  <cacheSource type="worksheet">
    <worksheetSource ref="A1:I21" sheet="Sheet3"/>
  </cacheSource>
  <cacheFields count="9">
    <cacheField name="CustomerID" numFmtId="0">
      <sharedItems count="2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</sharedItems>
    </cacheField>
    <cacheField name="Age" numFmtId="0">
      <sharedItems containsSemiMixedTypes="0" containsString="0" containsNumber="1" containsInteger="1" minValue="23" maxValue="52"/>
    </cacheField>
    <cacheField name="Subscription" numFmtId="0">
      <sharedItems count="3">
        <s v="Basic"/>
        <s v="Premium"/>
        <s v="Standard"/>
      </sharedItems>
    </cacheField>
    <cacheField name="MonthlyFee" numFmtId="0">
      <sharedItems containsSemiMixedTypes="0" containsString="0" containsNumber="1" containsInteger="1" minValue="20" maxValue="50"/>
    </cacheField>
    <cacheField name="TenureMonths" numFmtId="0">
      <sharedItems containsSemiMixedTypes="0" containsString="0" containsNumber="1" containsInteger="1" minValue="4" maxValue="36"/>
    </cacheField>
    <cacheField name="SupportCalls" numFmtId="0">
      <sharedItems containsSemiMixedTypes="0" containsString="0" containsNumber="1" containsInteger="1" minValue="0" maxValue="5" count="6">
        <n v="3"/>
        <n v="1"/>
        <n v="4"/>
        <n v="2"/>
        <n v="0"/>
        <n v="5"/>
      </sharedItems>
    </cacheField>
    <cacheField name="Satisfaction" numFmtId="0">
      <sharedItems containsSemiMixedTypes="0" containsString="0" containsNumber="1" containsInteger="1" minValue="2" maxValue="5"/>
    </cacheField>
    <cacheField name="Churn" numFmtId="0">
      <sharedItems count="2">
        <s v="Yes"/>
        <s v="No"/>
      </sharedItems>
    </cacheField>
    <cacheField name="Risk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C002"/>
    <n v="45"/>
    <s v="Premium"/>
    <n v="50"/>
    <n v="24"/>
    <n v="1"/>
    <n v="4"/>
    <s v="No"/>
    <s v="NO RISK"/>
  </r>
  <r>
    <s v="C003"/>
    <n v="31"/>
    <s v="Basic"/>
    <n v="20"/>
    <n v="12"/>
    <n v="4"/>
    <n v="2"/>
    <s v="Yes"/>
    <s v="HIGH RISK"/>
  </r>
  <r>
    <s v="C004"/>
    <n v="29"/>
    <s v="Standard"/>
    <n v="35"/>
    <n v="18"/>
    <n v="2"/>
    <n v="4"/>
    <s v="No"/>
    <s v="NO RISK"/>
  </r>
  <r>
    <s v="C005"/>
    <n v="52"/>
    <s v="Premium"/>
    <n v="50"/>
    <n v="36"/>
    <n v="0"/>
    <n v="5"/>
    <s v="No"/>
    <s v="NO RISK"/>
  </r>
  <r>
    <s v="C006"/>
    <n v="40"/>
    <s v="Basic"/>
    <n v="20"/>
    <n v="8"/>
    <n v="5"/>
    <n v="2"/>
    <s v="Yes"/>
    <s v="HIGH RISK"/>
  </r>
  <r>
    <s v="C007"/>
    <n v="34"/>
    <s v="Standard"/>
    <n v="35"/>
    <n v="15"/>
    <n v="2"/>
    <n v="3"/>
    <s v="No"/>
    <s v="NO RISK"/>
  </r>
  <r>
    <s v="C008"/>
    <n v="27"/>
    <s v="Basic"/>
    <n v="20"/>
    <n v="6"/>
    <n v="4"/>
    <n v="2"/>
    <s v="Yes"/>
    <s v="HIGH RISK"/>
  </r>
  <r>
    <s v="C009"/>
    <n v="50"/>
    <s v="Premium"/>
    <n v="50"/>
    <n v="30"/>
    <n v="1"/>
    <n v="5"/>
    <s v="No"/>
    <s v="NO RISK"/>
  </r>
  <r>
    <s v="C010"/>
    <n v="36"/>
    <s v="Standard"/>
    <n v="35"/>
    <n v="20"/>
    <n v="2"/>
    <n v="4"/>
    <s v="No"/>
    <s v="NO RISK"/>
  </r>
  <r>
    <s v="C011"/>
    <n v="28"/>
    <s v="Basic"/>
    <n v="20"/>
    <n v="9"/>
    <n v="3"/>
    <n v="3"/>
    <s v="Yes"/>
    <s v="NO RISK"/>
  </r>
  <r>
    <s v="C012"/>
    <n v="42"/>
    <s v="Premium"/>
    <n v="50"/>
    <n v="28"/>
    <n v="1"/>
    <n v="4"/>
    <s v="No"/>
    <s v="NO RISK"/>
  </r>
  <r>
    <s v="C013"/>
    <n v="33"/>
    <s v="Standard"/>
    <n v="35"/>
    <n v="16"/>
    <n v="2"/>
    <n v="4"/>
    <s v="No"/>
    <s v="NO RISK"/>
  </r>
  <r>
    <s v="C014"/>
    <n v="26"/>
    <s v="Basic"/>
    <n v="20"/>
    <n v="4"/>
    <n v="5"/>
    <n v="2"/>
    <s v="Yes"/>
    <s v="HIGH RISK"/>
  </r>
  <r>
    <s v="C015"/>
    <n v="47"/>
    <s v="Premium"/>
    <n v="50"/>
    <n v="32"/>
    <n v="1"/>
    <n v="5"/>
    <s v="No"/>
    <s v="NO RISK"/>
  </r>
  <r>
    <s v="C016"/>
    <n v="30"/>
    <s v="Standard"/>
    <n v="35"/>
    <n v="14"/>
    <n v="2"/>
    <n v="3"/>
    <s v="No"/>
    <s v="NO RISK"/>
  </r>
  <r>
    <s v="C017"/>
    <n v="38"/>
    <s v="Basic"/>
    <n v="20"/>
    <n v="7"/>
    <n v="4"/>
    <n v="2"/>
    <s v="Yes"/>
    <s v="HIGH RISK"/>
  </r>
  <r>
    <s v="C018"/>
    <n v="44"/>
    <s v="Premium"/>
    <n v="50"/>
    <n v="26"/>
    <n v="1"/>
    <n v="4"/>
    <s v="No"/>
    <s v="NO RISK"/>
  </r>
  <r>
    <s v="C019"/>
    <n v="35"/>
    <s v="Standard"/>
    <n v="35"/>
    <n v="19"/>
    <n v="2"/>
    <n v="4"/>
    <s v="No"/>
    <s v="NO RISK"/>
  </r>
  <r>
    <s v="C020"/>
    <n v="29"/>
    <s v="Basic"/>
    <n v="20"/>
    <n v="10"/>
    <n v="3"/>
    <n v="3"/>
    <s v="Yes"/>
    <s v="NO RIS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3"/>
    <x v="0"/>
    <n v="20"/>
    <n v="5"/>
    <x v="0"/>
    <n v="3"/>
    <x v="0"/>
    <s v="NO RISK"/>
  </r>
  <r>
    <x v="1"/>
    <n v="45"/>
    <x v="1"/>
    <n v="50"/>
    <n v="24"/>
    <x v="1"/>
    <n v="4"/>
    <x v="1"/>
    <s v="NO RISK"/>
  </r>
  <r>
    <x v="2"/>
    <n v="31"/>
    <x v="0"/>
    <n v="20"/>
    <n v="12"/>
    <x v="2"/>
    <n v="2"/>
    <x v="0"/>
    <s v="HIGH RISK"/>
  </r>
  <r>
    <x v="3"/>
    <n v="29"/>
    <x v="2"/>
    <n v="35"/>
    <n v="18"/>
    <x v="3"/>
    <n v="4"/>
    <x v="1"/>
    <s v="NO RISK"/>
  </r>
  <r>
    <x v="4"/>
    <n v="52"/>
    <x v="1"/>
    <n v="50"/>
    <n v="36"/>
    <x v="4"/>
    <n v="5"/>
    <x v="1"/>
    <s v="NO RISK"/>
  </r>
  <r>
    <x v="5"/>
    <n v="40"/>
    <x v="0"/>
    <n v="20"/>
    <n v="8"/>
    <x v="5"/>
    <n v="2"/>
    <x v="0"/>
    <s v="HIGH RISK"/>
  </r>
  <r>
    <x v="6"/>
    <n v="34"/>
    <x v="2"/>
    <n v="35"/>
    <n v="15"/>
    <x v="3"/>
    <n v="3"/>
    <x v="1"/>
    <s v="NO RISK"/>
  </r>
  <r>
    <x v="7"/>
    <n v="27"/>
    <x v="0"/>
    <n v="20"/>
    <n v="6"/>
    <x v="2"/>
    <n v="2"/>
    <x v="0"/>
    <s v="HIGH RISK"/>
  </r>
  <r>
    <x v="8"/>
    <n v="50"/>
    <x v="1"/>
    <n v="50"/>
    <n v="30"/>
    <x v="1"/>
    <n v="5"/>
    <x v="1"/>
    <s v="NO RISK"/>
  </r>
  <r>
    <x v="9"/>
    <n v="36"/>
    <x v="2"/>
    <n v="35"/>
    <n v="20"/>
    <x v="3"/>
    <n v="4"/>
    <x v="1"/>
    <s v="NO RISK"/>
  </r>
  <r>
    <x v="10"/>
    <n v="28"/>
    <x v="0"/>
    <n v="20"/>
    <n v="9"/>
    <x v="0"/>
    <n v="3"/>
    <x v="0"/>
    <s v="NO RISK"/>
  </r>
  <r>
    <x v="11"/>
    <n v="42"/>
    <x v="1"/>
    <n v="50"/>
    <n v="28"/>
    <x v="1"/>
    <n v="4"/>
    <x v="1"/>
    <s v="NO RISK"/>
  </r>
  <r>
    <x v="12"/>
    <n v="33"/>
    <x v="2"/>
    <n v="35"/>
    <n v="16"/>
    <x v="3"/>
    <n v="4"/>
    <x v="1"/>
    <s v="NO RISK"/>
  </r>
  <r>
    <x v="13"/>
    <n v="26"/>
    <x v="0"/>
    <n v="20"/>
    <n v="4"/>
    <x v="5"/>
    <n v="2"/>
    <x v="0"/>
    <s v="HIGH RISK"/>
  </r>
  <r>
    <x v="14"/>
    <n v="47"/>
    <x v="1"/>
    <n v="50"/>
    <n v="32"/>
    <x v="1"/>
    <n v="5"/>
    <x v="1"/>
    <s v="NO RISK"/>
  </r>
  <r>
    <x v="15"/>
    <n v="30"/>
    <x v="2"/>
    <n v="35"/>
    <n v="14"/>
    <x v="3"/>
    <n v="3"/>
    <x v="1"/>
    <s v="NO RISK"/>
  </r>
  <r>
    <x v="16"/>
    <n v="38"/>
    <x v="0"/>
    <n v="20"/>
    <n v="7"/>
    <x v="2"/>
    <n v="2"/>
    <x v="0"/>
    <s v="HIGH RISK"/>
  </r>
  <r>
    <x v="17"/>
    <n v="44"/>
    <x v="1"/>
    <n v="50"/>
    <n v="26"/>
    <x v="1"/>
    <n v="4"/>
    <x v="1"/>
    <s v="NO RISK"/>
  </r>
  <r>
    <x v="18"/>
    <n v="35"/>
    <x v="2"/>
    <n v="35"/>
    <n v="19"/>
    <x v="3"/>
    <n v="4"/>
    <x v="1"/>
    <s v="NO RISK"/>
  </r>
  <r>
    <x v="19"/>
    <n v="29"/>
    <x v="0"/>
    <n v="20"/>
    <n v="10"/>
    <x v="0"/>
    <n v="3"/>
    <x v="0"/>
    <s v="NO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9EA9A-78E2-4EB9-8523-4F0DE588C51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E0E1C-8DED-4E7B-B9A1-2EEAFED578E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A6" firstHeaderRow="1" firstDataRow="1" firstDataCol="1"/>
  <pivotFields count="9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multipleItemSelectionAllowed="1" showAll="0">
      <items count="7">
        <item h="1" x="4"/>
        <item h="1" x="1"/>
        <item h="1" x="3"/>
        <item x="0"/>
        <item x="2"/>
        <item x="5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C98C-9991-4A7E-9658-AF76E285E140}">
  <dimension ref="A2:J27"/>
  <sheetViews>
    <sheetView topLeftCell="A3" workbookViewId="0">
      <selection activeCell="B18" sqref="B18"/>
    </sheetView>
  </sheetViews>
  <sheetFormatPr defaultRowHeight="14.5" x14ac:dyDescent="0.35"/>
  <cols>
    <col min="1" max="1" width="12" customWidth="1"/>
    <col min="2" max="2" width="15.54296875" bestFit="1" customWidth="1"/>
    <col min="4" max="4" width="13.08984375" customWidth="1"/>
  </cols>
  <sheetData>
    <row r="2" spans="1:10" x14ac:dyDescent="0.35">
      <c r="A2" t="s">
        <v>0</v>
      </c>
      <c r="B2">
        <v>9</v>
      </c>
      <c r="C2">
        <v>11</v>
      </c>
      <c r="D2">
        <f>B2+C2</f>
        <v>20</v>
      </c>
    </row>
    <row r="3" spans="1:10" x14ac:dyDescent="0.35">
      <c r="A3" t="s">
        <v>1</v>
      </c>
      <c r="B3">
        <v>17</v>
      </c>
      <c r="C3">
        <v>88</v>
      </c>
      <c r="D3">
        <f>B3-C3</f>
        <v>-71</v>
      </c>
      <c r="E3" t="s">
        <v>17</v>
      </c>
    </row>
    <row r="4" spans="1:10" x14ac:dyDescent="0.35">
      <c r="A4" t="s">
        <v>2</v>
      </c>
      <c r="B4">
        <v>11</v>
      </c>
      <c r="C4">
        <v>98</v>
      </c>
      <c r="D4">
        <f>B4*C4</f>
        <v>1078</v>
      </c>
    </row>
    <row r="5" spans="1:10" x14ac:dyDescent="0.35">
      <c r="A5" t="s">
        <v>3</v>
      </c>
      <c r="B5">
        <v>90</v>
      </c>
      <c r="C5">
        <v>10</v>
      </c>
      <c r="D5">
        <f>B5/C5</f>
        <v>9</v>
      </c>
      <c r="F5">
        <v>12</v>
      </c>
      <c r="G5">
        <v>12</v>
      </c>
      <c r="H5">
        <v>11</v>
      </c>
    </row>
    <row r="6" spans="1:10" x14ac:dyDescent="0.35">
      <c r="A6" t="s">
        <v>4</v>
      </c>
      <c r="B6">
        <v>12</v>
      </c>
      <c r="C6">
        <v>13</v>
      </c>
      <c r="D6">
        <v>12</v>
      </c>
      <c r="E6">
        <v>16</v>
      </c>
      <c r="F6">
        <v>77</v>
      </c>
      <c r="G6">
        <v>88</v>
      </c>
      <c r="H6">
        <f>SUM(B6:G6)</f>
        <v>218</v>
      </c>
      <c r="I6">
        <v>8</v>
      </c>
    </row>
    <row r="7" spans="1:10" x14ac:dyDescent="0.35">
      <c r="A7" t="s">
        <v>5</v>
      </c>
      <c r="B7">
        <v>12</v>
      </c>
      <c r="C7">
        <v>13</v>
      </c>
      <c r="D7">
        <v>12</v>
      </c>
      <c r="E7">
        <v>16</v>
      </c>
      <c r="F7">
        <v>77</v>
      </c>
      <c r="G7">
        <v>5</v>
      </c>
      <c r="H7">
        <v>7</v>
      </c>
      <c r="I7">
        <f>MIN(B7:H7)</f>
        <v>5</v>
      </c>
    </row>
    <row r="8" spans="1:10" x14ac:dyDescent="0.35">
      <c r="A8" t="s">
        <v>6</v>
      </c>
      <c r="B8">
        <v>12</v>
      </c>
      <c r="C8">
        <v>13</v>
      </c>
      <c r="D8">
        <v>12</v>
      </c>
      <c r="E8">
        <v>16</v>
      </c>
      <c r="F8">
        <v>77</v>
      </c>
      <c r="G8">
        <v>5</v>
      </c>
      <c r="H8">
        <v>7</v>
      </c>
      <c r="I8">
        <f>MAX(B8:H8)</f>
        <v>77</v>
      </c>
    </row>
    <row r="9" spans="1:10" x14ac:dyDescent="0.35">
      <c r="A9" t="s">
        <v>7</v>
      </c>
      <c r="B9">
        <f>COUNT(B2:I8)</f>
        <v>39</v>
      </c>
    </row>
    <row r="10" spans="1:10" x14ac:dyDescent="0.35">
      <c r="A10" t="s">
        <v>8</v>
      </c>
      <c r="B10">
        <f>COUNTA(B2:I8)</f>
        <v>40</v>
      </c>
    </row>
    <row r="11" spans="1:10" x14ac:dyDescent="0.35">
      <c r="A11" t="s">
        <v>9</v>
      </c>
      <c r="B11">
        <v>1</v>
      </c>
      <c r="C11">
        <v>2</v>
      </c>
      <c r="D11">
        <v>4</v>
      </c>
      <c r="E11">
        <v>5</v>
      </c>
      <c r="F11">
        <v>6</v>
      </c>
      <c r="G11">
        <v>7</v>
      </c>
      <c r="H11">
        <v>8</v>
      </c>
      <c r="I11">
        <v>9</v>
      </c>
      <c r="J11">
        <f>AVERAGE(B11:I11)</f>
        <v>5.25</v>
      </c>
    </row>
    <row r="12" spans="1:10" x14ac:dyDescent="0.35">
      <c r="A12" t="s">
        <v>10</v>
      </c>
      <c r="B12">
        <v>1</v>
      </c>
      <c r="C12">
        <v>2</v>
      </c>
      <c r="D12">
        <v>3</v>
      </c>
      <c r="E12">
        <v>6</v>
      </c>
      <c r="F12">
        <v>8</v>
      </c>
      <c r="G12">
        <v>9</v>
      </c>
      <c r="H12">
        <v>4</v>
      </c>
      <c r="I12">
        <v>5</v>
      </c>
      <c r="J12">
        <f>MEDIAN(B12:I12)</f>
        <v>4.5</v>
      </c>
    </row>
    <row r="13" spans="1:10" x14ac:dyDescent="0.35">
      <c r="A13" t="s">
        <v>11</v>
      </c>
      <c r="B13" t="s">
        <v>18</v>
      </c>
      <c r="C13" t="s">
        <v>19</v>
      </c>
      <c r="D13" t="str">
        <f>_xlfn.CONCAT(B13," ",C13)</f>
        <v>Alice is very tall</v>
      </c>
    </row>
    <row r="14" spans="1:10" x14ac:dyDescent="0.35">
      <c r="A14" t="s">
        <v>12</v>
      </c>
      <c r="B14" t="s">
        <v>20</v>
      </c>
      <c r="C14" t="str">
        <f>IF(B14="rwanda","YES","NO")</f>
        <v>YES</v>
      </c>
      <c r="D14" t="s">
        <v>21</v>
      </c>
      <c r="E14" t="str">
        <f>IF(D14="Babarian","YES","NO")</f>
        <v>YES</v>
      </c>
    </row>
    <row r="15" spans="1:10" x14ac:dyDescent="0.35">
      <c r="A15" t="s">
        <v>13</v>
      </c>
      <c r="B15">
        <f>COUNTIF(B2:K12,12)</f>
        <v>8</v>
      </c>
    </row>
    <row r="16" spans="1:10" x14ac:dyDescent="0.35">
      <c r="A16" t="s">
        <v>14</v>
      </c>
    </row>
    <row r="17" spans="1:5" x14ac:dyDescent="0.35">
      <c r="A17" t="s">
        <v>15</v>
      </c>
      <c r="B17" s="1">
        <f ca="1">NOW()</f>
        <v>46130.874994328704</v>
      </c>
    </row>
    <row r="18" spans="1:5" x14ac:dyDescent="0.35">
      <c r="A18" t="s">
        <v>16</v>
      </c>
      <c r="B18">
        <f>COUNTBLANK(B2:J12)</f>
        <v>39</v>
      </c>
    </row>
    <row r="19" spans="1:5" x14ac:dyDescent="0.35">
      <c r="D19" t="s">
        <v>22</v>
      </c>
      <c r="E19">
        <v>5000</v>
      </c>
    </row>
    <row r="20" spans="1:5" x14ac:dyDescent="0.35">
      <c r="D20" t="s">
        <v>23</v>
      </c>
      <c r="E20">
        <v>5900</v>
      </c>
    </row>
    <row r="21" spans="1:5" x14ac:dyDescent="0.35">
      <c r="D21" t="s">
        <v>24</v>
      </c>
      <c r="E21">
        <v>4500</v>
      </c>
    </row>
    <row r="22" spans="1:5" x14ac:dyDescent="0.35">
      <c r="D22" t="s">
        <v>22</v>
      </c>
      <c r="E22">
        <v>4500</v>
      </c>
    </row>
    <row r="23" spans="1:5" x14ac:dyDescent="0.35">
      <c r="D23" t="s">
        <v>23</v>
      </c>
      <c r="E23">
        <v>7000</v>
      </c>
    </row>
    <row r="24" spans="1:5" x14ac:dyDescent="0.35">
      <c r="D24" t="s">
        <v>24</v>
      </c>
      <c r="E24">
        <v>4500</v>
      </c>
    </row>
    <row r="25" spans="1:5" x14ac:dyDescent="0.35">
      <c r="A25" t="s">
        <v>25</v>
      </c>
      <c r="D25">
        <f>SUMIF(D19:D24,"dep1",E19:E24)</f>
        <v>9500</v>
      </c>
    </row>
    <row r="26" spans="1:5" x14ac:dyDescent="0.35">
      <c r="A26" t="s">
        <v>26</v>
      </c>
      <c r="D26">
        <f>SUMIF(D19:D24,"dep2",E19:E24)</f>
        <v>12900</v>
      </c>
    </row>
    <row r="27" spans="1:5" x14ac:dyDescent="0.35">
      <c r="A27" t="s">
        <v>27</v>
      </c>
      <c r="D27">
        <f>SUMIF(D19:D24,"dep3",E19:E24)</f>
        <v>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43A7-9B2B-49CF-B233-C0459F9990DA}">
  <dimension ref="B1:F13"/>
  <sheetViews>
    <sheetView workbookViewId="0">
      <selection activeCell="D8" sqref="D8"/>
    </sheetView>
  </sheetViews>
  <sheetFormatPr defaultRowHeight="14.5" x14ac:dyDescent="0.35"/>
  <sheetData>
    <row r="1" spans="2:6" x14ac:dyDescent="0.35">
      <c r="F1" t="s">
        <v>28</v>
      </c>
    </row>
    <row r="3" spans="2:6" ht="41.5" x14ac:dyDescent="0.35">
      <c r="B3" s="2" t="s">
        <v>29</v>
      </c>
      <c r="C3" s="2" t="s">
        <v>30</v>
      </c>
    </row>
    <row r="4" spans="2:6" x14ac:dyDescent="0.35">
      <c r="B4">
        <v>1</v>
      </c>
      <c r="C4" t="s">
        <v>31</v>
      </c>
    </row>
    <row r="5" spans="2:6" x14ac:dyDescent="0.35">
      <c r="B5">
        <v>2</v>
      </c>
      <c r="C5" t="s">
        <v>34</v>
      </c>
    </row>
    <row r="6" spans="2:6" x14ac:dyDescent="0.35">
      <c r="B6">
        <v>3</v>
      </c>
      <c r="C6" t="s">
        <v>35</v>
      </c>
    </row>
    <row r="7" spans="2:6" x14ac:dyDescent="0.35">
      <c r="B7">
        <v>4</v>
      </c>
      <c r="C7" t="s">
        <v>38</v>
      </c>
    </row>
    <row r="8" spans="2:6" x14ac:dyDescent="0.35">
      <c r="B8">
        <v>5</v>
      </c>
      <c r="C8" t="s">
        <v>40</v>
      </c>
    </row>
    <row r="9" spans="2:6" x14ac:dyDescent="0.35">
      <c r="B9">
        <v>6</v>
      </c>
      <c r="C9" t="s">
        <v>37</v>
      </c>
    </row>
    <row r="10" spans="2:6" x14ac:dyDescent="0.35">
      <c r="B10">
        <v>7</v>
      </c>
      <c r="C10" t="s">
        <v>36</v>
      </c>
    </row>
    <row r="11" spans="2:6" x14ac:dyDescent="0.35">
      <c r="B11">
        <v>8</v>
      </c>
      <c r="C11" t="s">
        <v>33</v>
      </c>
    </row>
    <row r="12" spans="2:6" x14ac:dyDescent="0.35">
      <c r="B12">
        <v>9</v>
      </c>
      <c r="C12" t="s">
        <v>32</v>
      </c>
    </row>
    <row r="13" spans="2:6" x14ac:dyDescent="0.35">
      <c r="B13">
        <v>10</v>
      </c>
      <c r="C13" t="s">
        <v>39</v>
      </c>
    </row>
  </sheetData>
  <sortState xmlns:xlrd2="http://schemas.microsoft.com/office/spreadsheetml/2017/richdata2" ref="B4:B13">
    <sortCondition ref="B4:B13"/>
  </sortState>
  <conditionalFormatting sqref="B4:B13">
    <cfRule type="top10" dxfId="36" priority="1" rank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9D39-396D-466F-BA00-C87530F4E47E}">
  <dimension ref="A3:C20"/>
  <sheetViews>
    <sheetView workbookViewId="0">
      <selection activeCell="B7" sqref="B7"/>
    </sheetView>
  </sheetViews>
  <sheetFormatPr defaultRowHeight="14.5" x14ac:dyDescent="0.35"/>
  <sheetData>
    <row r="3" spans="1:3" x14ac:dyDescent="0.35">
      <c r="A3" s="7"/>
      <c r="B3" s="8"/>
      <c r="C3" s="9"/>
    </row>
    <row r="4" spans="1:3" x14ac:dyDescent="0.35">
      <c r="A4" s="10"/>
      <c r="B4" s="11"/>
      <c r="C4" s="12"/>
    </row>
    <row r="5" spans="1:3" x14ac:dyDescent="0.35">
      <c r="A5" s="10"/>
      <c r="B5" s="11"/>
      <c r="C5" s="12"/>
    </row>
    <row r="6" spans="1:3" x14ac:dyDescent="0.35">
      <c r="A6" s="10"/>
      <c r="B6" s="11"/>
      <c r="C6" s="12"/>
    </row>
    <row r="7" spans="1:3" x14ac:dyDescent="0.35">
      <c r="A7" s="10"/>
      <c r="B7" s="11"/>
      <c r="C7" s="12"/>
    </row>
    <row r="8" spans="1:3" x14ac:dyDescent="0.35">
      <c r="A8" s="10"/>
      <c r="B8" s="11"/>
      <c r="C8" s="12"/>
    </row>
    <row r="9" spans="1:3" x14ac:dyDescent="0.35">
      <c r="A9" s="10"/>
      <c r="B9" s="11"/>
      <c r="C9" s="12"/>
    </row>
    <row r="10" spans="1:3" x14ac:dyDescent="0.35">
      <c r="A10" s="10"/>
      <c r="B10" s="11"/>
      <c r="C10" s="12"/>
    </row>
    <row r="11" spans="1:3" x14ac:dyDescent="0.35">
      <c r="A11" s="10"/>
      <c r="B11" s="11"/>
      <c r="C11" s="12"/>
    </row>
    <row r="12" spans="1:3" x14ac:dyDescent="0.35">
      <c r="A12" s="10"/>
      <c r="B12" s="11"/>
      <c r="C12" s="12"/>
    </row>
    <row r="13" spans="1:3" x14ac:dyDescent="0.35">
      <c r="A13" s="10"/>
      <c r="B13" s="11"/>
      <c r="C13" s="12"/>
    </row>
    <row r="14" spans="1:3" x14ac:dyDescent="0.35">
      <c r="A14" s="10"/>
      <c r="B14" s="11"/>
      <c r="C14" s="12"/>
    </row>
    <row r="15" spans="1:3" x14ac:dyDescent="0.35">
      <c r="A15" s="10"/>
      <c r="B15" s="11"/>
      <c r="C15" s="12"/>
    </row>
    <row r="16" spans="1:3" x14ac:dyDescent="0.35">
      <c r="A16" s="10"/>
      <c r="B16" s="11"/>
      <c r="C16" s="12"/>
    </row>
    <row r="17" spans="1:3" x14ac:dyDescent="0.35">
      <c r="A17" s="10"/>
      <c r="B17" s="11"/>
      <c r="C17" s="12"/>
    </row>
    <row r="18" spans="1:3" x14ac:dyDescent="0.35">
      <c r="A18" s="10"/>
      <c r="B18" s="11"/>
      <c r="C18" s="12"/>
    </row>
    <row r="19" spans="1:3" x14ac:dyDescent="0.35">
      <c r="A19" s="10"/>
      <c r="B19" s="11"/>
      <c r="C19" s="12"/>
    </row>
    <row r="20" spans="1:3" x14ac:dyDescent="0.35">
      <c r="A20" s="13"/>
      <c r="B20" s="14"/>
      <c r="C2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CBDC9-B640-446A-88BC-B3F85A1F04B2}">
  <dimension ref="A3:A6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7" bestFit="1" customWidth="1"/>
  </cols>
  <sheetData>
    <row r="3" spans="1:1" x14ac:dyDescent="0.35">
      <c r="A3" s="16" t="s">
        <v>84</v>
      </c>
    </row>
    <row r="4" spans="1:1" x14ac:dyDescent="0.35">
      <c r="A4" s="17" t="s">
        <v>54</v>
      </c>
    </row>
    <row r="5" spans="1:1" x14ac:dyDescent="0.35">
      <c r="A5" s="17" t="s">
        <v>51</v>
      </c>
    </row>
    <row r="6" spans="1:1" x14ac:dyDescent="0.35">
      <c r="A6" s="17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73E5-7A89-4FCE-A74C-6B072BF1A33B}">
  <dimension ref="A1:I32"/>
  <sheetViews>
    <sheetView tabSelected="1" workbookViewId="0">
      <selection activeCell="H2" sqref="H2:H21"/>
    </sheetView>
  </sheetViews>
  <sheetFormatPr defaultRowHeight="14.5" x14ac:dyDescent="0.35"/>
  <cols>
    <col min="1" max="1" width="11.1796875" customWidth="1"/>
    <col min="3" max="3" width="14.453125" customWidth="1"/>
    <col min="4" max="4" width="13.81640625" customWidth="1"/>
    <col min="5" max="5" width="16.6328125" customWidth="1"/>
    <col min="6" max="6" width="14.453125" customWidth="1"/>
    <col min="7" max="7" width="12.36328125" customWidth="1"/>
    <col min="8" max="8" width="10.36328125" customWidth="1"/>
    <col min="9" max="9" width="11.1796875" customWidth="1"/>
  </cols>
  <sheetData>
    <row r="1" spans="1:9" x14ac:dyDescent="0.3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6" t="s">
        <v>81</v>
      </c>
    </row>
    <row r="2" spans="1:9" x14ac:dyDescent="0.35">
      <c r="A2" s="4" t="s">
        <v>49</v>
      </c>
      <c r="B2" s="4">
        <v>23</v>
      </c>
      <c r="C2" s="4" t="s">
        <v>50</v>
      </c>
      <c r="D2" s="4">
        <v>20</v>
      </c>
      <c r="E2" s="4">
        <v>5</v>
      </c>
      <c r="F2" s="4">
        <v>3</v>
      </c>
      <c r="G2" s="4">
        <v>3</v>
      </c>
      <c r="H2" s="4" t="s">
        <v>51</v>
      </c>
      <c r="I2" t="str" cm="1">
        <f t="array" ref="I2:I21">IF(F2:F21&gt;3,"HIGH RISK","NO RISK")</f>
        <v>NO RISK</v>
      </c>
    </row>
    <row r="3" spans="1:9" x14ac:dyDescent="0.35">
      <c r="A3" s="5" t="s">
        <v>52</v>
      </c>
      <c r="B3" s="5">
        <v>45</v>
      </c>
      <c r="C3" s="5" t="s">
        <v>53</v>
      </c>
      <c r="D3" s="5">
        <v>50</v>
      </c>
      <c r="E3" s="5">
        <v>24</v>
      </c>
      <c r="F3" s="5">
        <v>1</v>
      </c>
      <c r="G3" s="5">
        <v>4</v>
      </c>
      <c r="H3" s="5" t="s">
        <v>54</v>
      </c>
      <c r="I3" t="str">
        <v>NO RISK</v>
      </c>
    </row>
    <row r="4" spans="1:9" x14ac:dyDescent="0.35">
      <c r="A4" s="4" t="s">
        <v>55</v>
      </c>
      <c r="B4" s="4">
        <v>31</v>
      </c>
      <c r="C4" s="4" t="s">
        <v>50</v>
      </c>
      <c r="D4" s="4">
        <v>20</v>
      </c>
      <c r="E4" s="4">
        <v>12</v>
      </c>
      <c r="F4" s="4">
        <v>4</v>
      </c>
      <c r="G4" s="4">
        <v>2</v>
      </c>
      <c r="H4" s="4" t="s">
        <v>51</v>
      </c>
      <c r="I4" t="str">
        <v>HIGH RISK</v>
      </c>
    </row>
    <row r="5" spans="1:9" x14ac:dyDescent="0.35">
      <c r="A5" s="5" t="s">
        <v>56</v>
      </c>
      <c r="B5" s="5">
        <v>29</v>
      </c>
      <c r="C5" s="5" t="s">
        <v>57</v>
      </c>
      <c r="D5" s="5">
        <v>35</v>
      </c>
      <c r="E5" s="5">
        <v>18</v>
      </c>
      <c r="F5" s="5">
        <v>2</v>
      </c>
      <c r="G5" s="5">
        <v>4</v>
      </c>
      <c r="H5" s="5" t="s">
        <v>54</v>
      </c>
      <c r="I5" t="str">
        <v>NO RISK</v>
      </c>
    </row>
    <row r="6" spans="1:9" x14ac:dyDescent="0.35">
      <c r="A6" s="4" t="s">
        <v>58</v>
      </c>
      <c r="B6" s="4">
        <v>52</v>
      </c>
      <c r="C6" s="4" t="s">
        <v>53</v>
      </c>
      <c r="D6" s="4">
        <v>50</v>
      </c>
      <c r="E6" s="4">
        <v>36</v>
      </c>
      <c r="F6" s="4">
        <v>0</v>
      </c>
      <c r="G6" s="4">
        <v>5</v>
      </c>
      <c r="H6" s="4" t="s">
        <v>54</v>
      </c>
      <c r="I6" t="str">
        <v>NO RISK</v>
      </c>
    </row>
    <row r="7" spans="1:9" x14ac:dyDescent="0.35">
      <c r="A7" s="5" t="s">
        <v>59</v>
      </c>
      <c r="B7" s="5">
        <v>40</v>
      </c>
      <c r="C7" s="5" t="s">
        <v>50</v>
      </c>
      <c r="D7" s="5">
        <v>20</v>
      </c>
      <c r="E7" s="5">
        <v>8</v>
      </c>
      <c r="F7" s="5">
        <v>5</v>
      </c>
      <c r="G7" s="5">
        <v>2</v>
      </c>
      <c r="H7" s="5" t="s">
        <v>51</v>
      </c>
      <c r="I7" t="str">
        <v>HIGH RISK</v>
      </c>
    </row>
    <row r="8" spans="1:9" x14ac:dyDescent="0.35">
      <c r="A8" s="4" t="s">
        <v>60</v>
      </c>
      <c r="B8" s="4">
        <v>34</v>
      </c>
      <c r="C8" s="4" t="s">
        <v>57</v>
      </c>
      <c r="D8" s="4">
        <v>35</v>
      </c>
      <c r="E8" s="4">
        <v>15</v>
      </c>
      <c r="F8" s="4">
        <v>2</v>
      </c>
      <c r="G8" s="4">
        <v>3</v>
      </c>
      <c r="H8" s="4" t="s">
        <v>54</v>
      </c>
      <c r="I8" t="str">
        <v>NO RISK</v>
      </c>
    </row>
    <row r="9" spans="1:9" x14ac:dyDescent="0.35">
      <c r="A9" s="5" t="s">
        <v>61</v>
      </c>
      <c r="B9" s="5">
        <v>27</v>
      </c>
      <c r="C9" s="5" t="s">
        <v>50</v>
      </c>
      <c r="D9" s="5">
        <v>20</v>
      </c>
      <c r="E9" s="5">
        <v>6</v>
      </c>
      <c r="F9" s="5">
        <v>4</v>
      </c>
      <c r="G9" s="5">
        <v>2</v>
      </c>
      <c r="H9" s="5" t="s">
        <v>51</v>
      </c>
      <c r="I9" t="str">
        <v>HIGH RISK</v>
      </c>
    </row>
    <row r="10" spans="1:9" x14ac:dyDescent="0.35">
      <c r="A10" s="4" t="s">
        <v>62</v>
      </c>
      <c r="B10" s="4">
        <v>50</v>
      </c>
      <c r="C10" s="4" t="s">
        <v>53</v>
      </c>
      <c r="D10" s="4">
        <v>50</v>
      </c>
      <c r="E10" s="4">
        <v>30</v>
      </c>
      <c r="F10" s="4">
        <v>1</v>
      </c>
      <c r="G10" s="4">
        <v>5</v>
      </c>
      <c r="H10" s="4" t="s">
        <v>54</v>
      </c>
      <c r="I10" t="str">
        <v>NO RISK</v>
      </c>
    </row>
    <row r="11" spans="1:9" x14ac:dyDescent="0.35">
      <c r="A11" s="5" t="s">
        <v>63</v>
      </c>
      <c r="B11" s="5">
        <v>36</v>
      </c>
      <c r="C11" s="5" t="s">
        <v>57</v>
      </c>
      <c r="D11" s="5">
        <v>35</v>
      </c>
      <c r="E11" s="5">
        <v>20</v>
      </c>
      <c r="F11" s="5">
        <v>2</v>
      </c>
      <c r="G11" s="5">
        <v>4</v>
      </c>
      <c r="H11" s="5" t="s">
        <v>54</v>
      </c>
      <c r="I11" t="str">
        <v>NO RISK</v>
      </c>
    </row>
    <row r="12" spans="1:9" x14ac:dyDescent="0.35">
      <c r="A12" s="4" t="s">
        <v>64</v>
      </c>
      <c r="B12" s="4">
        <v>28</v>
      </c>
      <c r="C12" s="4" t="s">
        <v>50</v>
      </c>
      <c r="D12" s="4">
        <v>20</v>
      </c>
      <c r="E12" s="4">
        <v>9</v>
      </c>
      <c r="F12" s="4">
        <v>3</v>
      </c>
      <c r="G12" s="4">
        <v>3</v>
      </c>
      <c r="H12" s="4" t="s">
        <v>51</v>
      </c>
      <c r="I12" t="str">
        <v>NO RISK</v>
      </c>
    </row>
    <row r="13" spans="1:9" x14ac:dyDescent="0.35">
      <c r="A13" s="5" t="s">
        <v>65</v>
      </c>
      <c r="B13" s="5">
        <v>42</v>
      </c>
      <c r="C13" s="5" t="s">
        <v>53</v>
      </c>
      <c r="D13" s="5">
        <v>50</v>
      </c>
      <c r="E13" s="5">
        <v>28</v>
      </c>
      <c r="F13" s="5">
        <v>1</v>
      </c>
      <c r="G13" s="5">
        <v>4</v>
      </c>
      <c r="H13" s="5" t="s">
        <v>54</v>
      </c>
      <c r="I13" t="str">
        <v>NO RISK</v>
      </c>
    </row>
    <row r="14" spans="1:9" x14ac:dyDescent="0.35">
      <c r="A14" s="4" t="s">
        <v>66</v>
      </c>
      <c r="B14" s="4">
        <v>33</v>
      </c>
      <c r="C14" s="4" t="s">
        <v>57</v>
      </c>
      <c r="D14" s="4">
        <v>35</v>
      </c>
      <c r="E14" s="4">
        <v>16</v>
      </c>
      <c r="F14" s="4">
        <v>2</v>
      </c>
      <c r="G14" s="4">
        <v>4</v>
      </c>
      <c r="H14" s="4" t="s">
        <v>54</v>
      </c>
      <c r="I14" t="str">
        <v>NO RISK</v>
      </c>
    </row>
    <row r="15" spans="1:9" x14ac:dyDescent="0.35">
      <c r="A15" s="5" t="s">
        <v>67</v>
      </c>
      <c r="B15" s="5">
        <v>26</v>
      </c>
      <c r="C15" s="5" t="s">
        <v>50</v>
      </c>
      <c r="D15" s="5">
        <v>20</v>
      </c>
      <c r="E15" s="5">
        <v>4</v>
      </c>
      <c r="F15" s="5">
        <v>5</v>
      </c>
      <c r="G15" s="5">
        <v>2</v>
      </c>
      <c r="H15" s="5" t="s">
        <v>51</v>
      </c>
      <c r="I15" t="str">
        <v>HIGH RISK</v>
      </c>
    </row>
    <row r="16" spans="1:9" x14ac:dyDescent="0.35">
      <c r="A16" s="4" t="s">
        <v>68</v>
      </c>
      <c r="B16" s="4">
        <v>47</v>
      </c>
      <c r="C16" s="4" t="s">
        <v>53</v>
      </c>
      <c r="D16" s="4">
        <v>50</v>
      </c>
      <c r="E16" s="4">
        <v>32</v>
      </c>
      <c r="F16" s="4">
        <v>1</v>
      </c>
      <c r="G16" s="4">
        <v>5</v>
      </c>
      <c r="H16" s="4" t="s">
        <v>54</v>
      </c>
      <c r="I16" t="str">
        <v>NO RISK</v>
      </c>
    </row>
    <row r="17" spans="1:9" x14ac:dyDescent="0.35">
      <c r="A17" s="5" t="s">
        <v>69</v>
      </c>
      <c r="B17" s="5">
        <v>30</v>
      </c>
      <c r="C17" s="5" t="s">
        <v>57</v>
      </c>
      <c r="D17" s="5">
        <v>35</v>
      </c>
      <c r="E17" s="5">
        <v>14</v>
      </c>
      <c r="F17" s="5">
        <v>2</v>
      </c>
      <c r="G17" s="5">
        <v>3</v>
      </c>
      <c r="H17" s="5" t="s">
        <v>54</v>
      </c>
      <c r="I17" t="str">
        <v>NO RISK</v>
      </c>
    </row>
    <row r="18" spans="1:9" x14ac:dyDescent="0.35">
      <c r="A18" s="4" t="s">
        <v>70</v>
      </c>
      <c r="B18" s="4">
        <v>38</v>
      </c>
      <c r="C18" s="4" t="s">
        <v>50</v>
      </c>
      <c r="D18" s="4">
        <v>20</v>
      </c>
      <c r="E18" s="4">
        <v>7</v>
      </c>
      <c r="F18" s="4">
        <v>4</v>
      </c>
      <c r="G18" s="4">
        <v>2</v>
      </c>
      <c r="H18" s="4" t="s">
        <v>51</v>
      </c>
      <c r="I18" t="str">
        <v>HIGH RISK</v>
      </c>
    </row>
    <row r="19" spans="1:9" x14ac:dyDescent="0.35">
      <c r="A19" s="5" t="s">
        <v>71</v>
      </c>
      <c r="B19" s="5">
        <v>44</v>
      </c>
      <c r="C19" s="5" t="s">
        <v>53</v>
      </c>
      <c r="D19" s="5">
        <v>50</v>
      </c>
      <c r="E19" s="5">
        <v>26</v>
      </c>
      <c r="F19" s="5">
        <v>1</v>
      </c>
      <c r="G19" s="5">
        <v>4</v>
      </c>
      <c r="H19" s="5" t="s">
        <v>54</v>
      </c>
      <c r="I19" t="str">
        <v>NO RISK</v>
      </c>
    </row>
    <row r="20" spans="1:9" x14ac:dyDescent="0.35">
      <c r="A20" s="4" t="s">
        <v>72</v>
      </c>
      <c r="B20" s="4">
        <v>35</v>
      </c>
      <c r="C20" s="4" t="s">
        <v>57</v>
      </c>
      <c r="D20" s="4">
        <v>35</v>
      </c>
      <c r="E20" s="4">
        <v>19</v>
      </c>
      <c r="F20" s="4">
        <v>2</v>
      </c>
      <c r="G20" s="4">
        <v>4</v>
      </c>
      <c r="H20" s="4" t="s">
        <v>54</v>
      </c>
      <c r="I20" t="str">
        <v>NO RISK</v>
      </c>
    </row>
    <row r="21" spans="1:9" x14ac:dyDescent="0.35">
      <c r="A21" s="5" t="s">
        <v>73</v>
      </c>
      <c r="B21" s="5">
        <v>29</v>
      </c>
      <c r="C21" s="5" t="s">
        <v>50</v>
      </c>
      <c r="D21" s="5">
        <v>20</v>
      </c>
      <c r="E21" s="5">
        <v>10</v>
      </c>
      <c r="F21" s="5">
        <v>3</v>
      </c>
      <c r="G21" s="5">
        <v>3</v>
      </c>
      <c r="H21" s="5" t="s">
        <v>51</v>
      </c>
      <c r="I21" t="str">
        <v>NO RISK</v>
      </c>
    </row>
    <row r="24" spans="1:9" x14ac:dyDescent="0.35">
      <c r="A24" t="s">
        <v>74</v>
      </c>
      <c r="D24">
        <f>AVERAGE(B2:B21)</f>
        <v>35.950000000000003</v>
      </c>
    </row>
    <row r="25" spans="1:9" x14ac:dyDescent="0.35">
      <c r="A25" t="s">
        <v>75</v>
      </c>
      <c r="D25">
        <f>SUM(D2:D21)</f>
        <v>670</v>
      </c>
    </row>
    <row r="26" spans="1:9" x14ac:dyDescent="0.35">
      <c r="A26" t="s">
        <v>76</v>
      </c>
      <c r="D26">
        <f>AVERAGE(D2:D21)</f>
        <v>33.5</v>
      </c>
    </row>
    <row r="27" spans="1:9" x14ac:dyDescent="0.35">
      <c r="A27" t="s">
        <v>77</v>
      </c>
      <c r="D27">
        <f>COUNTIF(H2:H21,"YES")</f>
        <v>8</v>
      </c>
    </row>
    <row r="28" spans="1:9" x14ac:dyDescent="0.35">
      <c r="A28" t="s">
        <v>78</v>
      </c>
      <c r="D28">
        <f>COUNTIF(C2:C21,"Premium")</f>
        <v>6</v>
      </c>
    </row>
    <row r="29" spans="1:9" x14ac:dyDescent="0.35">
      <c r="A29" t="s">
        <v>79</v>
      </c>
      <c r="D29">
        <f>AVERAGE(E2:E21)</f>
        <v>16.95</v>
      </c>
    </row>
    <row r="30" spans="1:9" x14ac:dyDescent="0.35">
      <c r="A30" t="s">
        <v>80</v>
      </c>
      <c r="D30">
        <f>MAX(D2:D21)</f>
        <v>50</v>
      </c>
    </row>
    <row r="31" spans="1:9" x14ac:dyDescent="0.35">
      <c r="A31" t="s">
        <v>82</v>
      </c>
      <c r="D31">
        <f>COUNTIF(_xlfn.ANCHORARRAY(I2),"HIGH RISK")</f>
        <v>5</v>
      </c>
    </row>
    <row r="32" spans="1:9" x14ac:dyDescent="0.35">
      <c r="A32" t="s">
        <v>83</v>
      </c>
    </row>
  </sheetData>
  <autoFilter ref="H2:H21" xr:uid="{657A73E5-7A89-4FCE-A74C-6B072BF1A33B}"/>
  <conditionalFormatting sqref="H2:H21">
    <cfRule type="cellIs" dxfId="0" priority="8" operator="equal">
      <formula>"yes"</formula>
    </cfRule>
    <cfRule type="cellIs" dxfId="1" priority="1" operator="equal">
      <formula>"yes"</formula>
    </cfRule>
  </conditionalFormatting>
  <conditionalFormatting sqref="C2:C21">
    <cfRule type="cellIs" dxfId="14" priority="7" operator="equal">
      <formula>"Premium"</formula>
    </cfRule>
  </conditionalFormatting>
  <conditionalFormatting sqref="G2:G21">
    <cfRule type="cellIs" dxfId="13" priority="6" operator="lessThan">
      <formula>3</formula>
    </cfRule>
    <cfRule type="cellIs" dxfId="12" priority="5" operator="lessThan">
      <formula>4</formula>
    </cfRule>
  </conditionalFormatting>
  <conditionalFormatting sqref="G1:G21">
    <cfRule type="cellIs" dxfId="11" priority="4" operator="lessThan">
      <formula>3</formula>
    </cfRule>
  </conditionalFormatting>
  <conditionalFormatting sqref="G5:G21">
    <cfRule type="cellIs" dxfId="10" priority="3" operator="lessThan">
      <formula>3</formula>
    </cfRule>
  </conditionalFormatting>
  <conditionalFormatting sqref="F1:F21">
    <cfRule type="cellIs" dxfId="9" priority="2" operator="greaterThan"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 Felix Mäckenzie</dc:creator>
  <cp:lastModifiedBy>Shima Felix Mäckenzie</cp:lastModifiedBy>
  <dcterms:created xsi:type="dcterms:W3CDTF">2026-04-18T16:48:43Z</dcterms:created>
  <dcterms:modified xsi:type="dcterms:W3CDTF">2026-04-18T18:59:59Z</dcterms:modified>
</cp:coreProperties>
</file>